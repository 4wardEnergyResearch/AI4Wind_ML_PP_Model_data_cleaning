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tandard\4ward Energy Dropbox\Stefan Janisch\Github_SJ\AI4WIND\data-folder-link\"/>
    </mc:Choice>
  </mc:AlternateContent>
  <xr:revisionPtr revIDLastSave="0" documentId="13_ncr:1_{07720776-4568-4357-A446-1EAC50A8EBF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Standard</author>
  </authors>
  <commentList>
    <comment ref="A1" authorId="0" shapeId="0" xr:uid="{B41F8B8F-91E8-4F71-ADC8-238818843448}">
      <text>
        <r>
          <rPr>
            <sz val="9"/>
            <color indexed="81"/>
            <rFont val="Segoe UI"/>
            <family val="2"/>
          </rPr>
          <t>Turbine type for which the parameters are to be set</t>
        </r>
      </text>
    </comment>
    <comment ref="B1" authorId="0" shapeId="0" xr:uid="{0609ED12-EAC5-4B40-9E1F-996FE8B8B798}">
      <text>
        <r>
          <rPr>
            <sz val="9"/>
            <color indexed="81"/>
            <rFont val="Segoe UI"/>
            <family val="2"/>
          </rPr>
          <t>Whether to perform data cleaning via power curve shifting</t>
        </r>
      </text>
    </comment>
    <comment ref="C1" authorId="0" shapeId="0" xr:uid="{24E008F3-057A-4723-A46C-376518B6C3B8}">
      <text>
        <r>
          <rPr>
            <sz val="9"/>
            <color indexed="81"/>
            <rFont val="Segoe UI"/>
            <family val="2"/>
          </rPr>
          <t>Left/right shift of the power curve in % of rated wind speed. Larger values produce more conservative results.</t>
        </r>
      </text>
    </comment>
    <comment ref="D1" authorId="0" shapeId="0" xr:uid="{F1F160A7-471C-4FFC-99F7-504D7F6B3A3D}">
      <text>
        <r>
          <rPr>
            <sz val="9"/>
            <color indexed="81"/>
            <rFont val="Segoe UI"/>
            <family val="2"/>
          </rPr>
          <t>Up/down shift of the power curve in % of nominal power. Larger values produce more conservative results.</t>
        </r>
      </text>
    </comment>
    <comment ref="F1" authorId="0" shapeId="0" xr:uid="{44F1F2B7-19E7-4CEA-AACB-5F1DE967BF7D}">
      <text>
        <r>
          <rPr>
            <sz val="9"/>
            <color indexed="81"/>
            <rFont val="Segoe UI"/>
            <family val="2"/>
          </rPr>
          <t>Whether to perform data cleaning by sigma clipping</t>
        </r>
      </text>
    </comment>
    <comment ref="G1" authorId="0" shapeId="0" xr:uid="{49C8048F-493C-49FD-A070-D9FD2D185C7F}">
      <text>
        <r>
          <rPr>
            <sz val="9"/>
            <color indexed="81"/>
            <rFont val="Segoe UI"/>
            <family val="2"/>
          </rPr>
          <t>Multiplier of standard deviation to define outlier threshold. Larger values make for a more conservative flagging.</t>
        </r>
      </text>
    </comment>
    <comment ref="I1" authorId="0" shapeId="0" xr:uid="{581AF5AD-A2C8-4195-B9B7-F704C61F4B3C}">
      <text>
        <r>
          <rPr>
            <sz val="9"/>
            <color indexed="81"/>
            <rFont val="Segoe UI"/>
            <family val="2"/>
          </rPr>
          <t>Whether to perform data cleaning by quantile mapping.</t>
        </r>
      </text>
    </comment>
    <comment ref="J1" authorId="0" shapeId="0" xr:uid="{0B66B374-F15D-43A8-8FD3-397EEB51537F}">
      <text>
        <r>
          <rPr>
            <sz val="9"/>
            <color indexed="81"/>
            <rFont val="Segoe UI"/>
            <family val="2"/>
          </rPr>
          <t>Number of quantiles used for the evaluation of the lower limit for
data cutting. Considering more quantiles means a finer resolution in the cut, and a higher computation time.</t>
        </r>
      </text>
    </comment>
    <comment ref="K1" authorId="0" shapeId="0" xr:uid="{E3EBDC47-F86B-415E-AF9F-54D80388CF9B}">
      <text>
        <r>
          <rPr>
            <sz val="9"/>
            <color indexed="81"/>
            <rFont val="Segoe UI"/>
            <family val="2"/>
          </rPr>
          <t>Threshold value for the decision if a quantile is considered as "falling" in comparison to the value of the previous bin. Considering low values (large magnitudes with negative signs) makes the method less sensitive.</t>
        </r>
      </text>
    </comment>
    <comment ref="M1" authorId="0" shapeId="0" xr:uid="{F0532BF3-9477-4167-BBF2-7A2D78588803}">
      <text>
        <r>
          <rPr>
            <sz val="9"/>
            <color indexed="81"/>
            <rFont val="Segoe UI"/>
            <family val="2"/>
          </rPr>
          <t>Motivation of the decisions made here.</t>
        </r>
      </text>
    </comment>
  </commentList>
</comments>
</file>

<file path=xl/sharedStrings.xml><?xml version="1.0" encoding="utf-8"?>
<sst xmlns="http://schemas.openxmlformats.org/spreadsheetml/2006/main" count="66" uniqueCount="63">
  <si>
    <t>turbine_type</t>
  </si>
  <si>
    <t>perform_pc_shift</t>
  </si>
  <si>
    <t>perform_sigma_clipping</t>
  </si>
  <si>
    <t>sc_mult</t>
  </si>
  <si>
    <t>perform_quantile_mapping</t>
  </si>
  <si>
    <t>comment</t>
  </si>
  <si>
    <t>3.2M114</t>
  </si>
  <si>
    <t>pc_shift_ws</t>
  </si>
  <si>
    <t>pc_shift_pw</t>
  </si>
  <si>
    <t>D6</t>
  </si>
  <si>
    <t>D8</t>
  </si>
  <si>
    <t>E101</t>
  </si>
  <si>
    <t>E126</t>
  </si>
  <si>
    <t>E40</t>
  </si>
  <si>
    <t>E66</t>
  </si>
  <si>
    <t>E70</t>
  </si>
  <si>
    <t>E82_2MW</t>
  </si>
  <si>
    <t>E82_3MW</t>
  </si>
  <si>
    <t>E92</t>
  </si>
  <si>
    <t>E92_2MW</t>
  </si>
  <si>
    <t>E92_restr</t>
  </si>
  <si>
    <t>M1800-600/150</t>
  </si>
  <si>
    <t>MM100</t>
  </si>
  <si>
    <t>MM82</t>
  </si>
  <si>
    <t>MM92</t>
  </si>
  <si>
    <t>NM48/750</t>
  </si>
  <si>
    <t>V100</t>
  </si>
  <si>
    <t>V112</t>
  </si>
  <si>
    <t>V126</t>
  </si>
  <si>
    <t>V136</t>
  </si>
  <si>
    <t>V150</t>
  </si>
  <si>
    <t>V29</t>
  </si>
  <si>
    <t>V44</t>
  </si>
  <si>
    <t>V47</t>
  </si>
  <si>
    <t>V52</t>
  </si>
  <si>
    <t>V80</t>
  </si>
  <si>
    <t>V90</t>
  </si>
  <si>
    <t>Quantile Mapping (und evtl. auch sigma clipping) zu aggressiv</t>
  </si>
  <si>
    <t>Eine Turbine folgt nicht der Hersteller-pc und verhindert die Anwendung von pc-shifting</t>
  </si>
  <si>
    <t>Sigma clipping war etwas aggressiv</t>
  </si>
  <si>
    <t>Messungen deutlich links von Hersteller-power curve -&gt; pc-shifting etwas aggressiv</t>
  </si>
  <si>
    <t>Problematisch; werden quasi immer gedrosselt gefahren</t>
  </si>
  <si>
    <t>Aggressives Quantile mapping</t>
  </si>
  <si>
    <t>Grenzwertig aggressives Quantile Mapping</t>
  </si>
  <si>
    <t>Weicht sehr von Hersteller-pc ab. Daher funktioniert pc-shift nicht</t>
  </si>
  <si>
    <t>Fast immer gedrosselt gefahren. Teilw. zu aggr. Quantile mapping</t>
  </si>
  <si>
    <t>Quantile mapping zu aggressiv</t>
  </si>
  <si>
    <t>Stark verschobene pc; pc-shift zu aggressiv</t>
  </si>
  <si>
    <t>Teilw. komische Einschnitte durch quantile mapping</t>
  </si>
  <si>
    <t>Evtl. zu aggressiv?</t>
  </si>
  <si>
    <t>Große Streuung auf x-Achse. Quantile Mapping und pc-shift zu aggressiv</t>
  </si>
  <si>
    <t>Aggr. Quantile mapping</t>
  </si>
  <si>
    <t>Quantile mapping zu aggressiv. Hier gibt es eine einzige Turbine, und diese wird nie ungedrosselt gefahren.</t>
  </si>
  <si>
    <t>Quantile mapping zu aggressiv. Sigma-clipping etwas aggressiver gestalten.</t>
  </si>
  <si>
    <t>num_quantiles</t>
  </si>
  <si>
    <t>thresh_fall</t>
  </si>
  <si>
    <t>cut_thresh_sc</t>
  </si>
  <si>
    <t>cut_thresh_pc</t>
  </si>
  <si>
    <t>Power curve hat abfallenden Teil</t>
  </si>
  <si>
    <t>cut_thresh_qm</t>
  </si>
  <si>
    <t>Generell zu aggressiv; pc shifting schneidet Daten ab</t>
  </si>
  <si>
    <t>3.2M122</t>
  </si>
  <si>
    <t>Große Abw. Von Hersteller-PC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</si>
</sst>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Standard" xfId="0" builtinId="0"/>
  </cellStyles>
  <dxfs count="4">
    <dxf>
      <font>
        <color theme="9"/>
      </font>
    </dxf>
    <dxf>
      <font>
        <color theme="9"/>
      </font>
    </dxf>
    <dxf>
      <font>
        <color theme="9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08EFFF-9560-4B9B-B4D2-FDAB46602967}" name="Tabelle1" displayName="Tabelle1" ref="A1:M31" totalsRowShown="0" headerRowDxfId="3">
  <autoFilter ref="A1:M31" xr:uid="{F308EFFF-9560-4B9B-B4D2-FDAB46602967}"/>
  <tableColumns count="13">
    <tableColumn id="1" xr3:uid="{4868D04B-39E7-4693-A511-9C92CBD30254}" name="turbine_type"/>
    <tableColumn id="2" xr3:uid="{972D9C31-F037-4AC2-BD48-BC8B95AD8229}" name="perform_pc_shift"/>
    <tableColumn id="3" xr3:uid="{7A5997EA-DA41-4A64-BED7-D9FAD2BFB366}" name="pc_shift_ws"/>
    <tableColumn id="4" xr3:uid="{D8EC2D3B-A577-4538-888B-7B1C5FD637DF}" name="pc_shift_pw"/>
    <tableColumn id="11" xr3:uid="{BE6B872A-6FBE-4F65-B8D3-C6B0A122628B}" name="cut_thresh_pc"/>
    <tableColumn id="5" xr3:uid="{AD3BA69D-DF34-4E17-9132-2F3E018FC205}" name="perform_sigma_clipping"/>
    <tableColumn id="6" xr3:uid="{EACC7521-DAE0-4F98-8C64-DED69837657E}" name="sc_mult"/>
    <tableColumn id="13" xr3:uid="{D22B7F85-B7F1-4EFC-B117-12B146F0AC1A}" name="cut_thresh_sc"/>
    <tableColumn id="7" xr3:uid="{6EBB43BF-6731-4F49-8815-CACD5E046417}" name="perform_quantile_mapping"/>
    <tableColumn id="8" xr3:uid="{8E9C90B1-9137-43EB-82C8-B43A9F9982CF}" name="num_quantiles"/>
    <tableColumn id="9" xr3:uid="{48DDB38E-BB6C-4D35-A706-9EF6DAF735D8}" name="thresh_fall"/>
    <tableColumn id="12" xr3:uid="{B5929727-84F9-44F7-AADC-E7BD3154B935}" name="cut_thresh_qm"/>
    <tableColumn id="10" xr3:uid="{42F4EC35-48D1-410F-A642-FE43122412D2}" name="comm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K31" sqref="K31"/>
    </sheetView>
  </sheetViews>
  <sheetFormatPr baseColWidth="10" defaultColWidth="8.7265625" defaultRowHeight="14.5" x14ac:dyDescent="0.35"/>
  <cols>
    <col min="1" max="1" width="13.7265625" customWidth="1"/>
    <col min="2" max="2" width="17.36328125" customWidth="1"/>
    <col min="3" max="5" width="13.6328125" customWidth="1"/>
    <col min="6" max="6" width="22.90625" customWidth="1"/>
    <col min="7" max="8" width="13.6328125" customWidth="1"/>
    <col min="9" max="9" width="25.90625" customWidth="1"/>
    <col min="10" max="12" width="14" customWidth="1"/>
    <col min="13" max="13" width="13.6328125" customWidth="1"/>
  </cols>
  <sheetData>
    <row r="1" spans="1:13" x14ac:dyDescent="0.35">
      <c r="A1" s="1" t="s">
        <v>0</v>
      </c>
      <c r="B1" s="1" t="s">
        <v>1</v>
      </c>
      <c r="C1" s="1" t="s">
        <v>7</v>
      </c>
      <c r="D1" s="1" t="s">
        <v>8</v>
      </c>
      <c r="E1" s="1" t="s">
        <v>57</v>
      </c>
      <c r="F1" s="1" t="s">
        <v>2</v>
      </c>
      <c r="G1" s="1" t="s">
        <v>3</v>
      </c>
      <c r="H1" s="1" t="s">
        <v>56</v>
      </c>
      <c r="I1" s="1" t="s">
        <v>4</v>
      </c>
      <c r="J1" s="1" t="s">
        <v>54</v>
      </c>
      <c r="K1" s="1" t="s">
        <v>55</v>
      </c>
      <c r="L1" s="1" t="s">
        <v>59</v>
      </c>
      <c r="M1" s="1" t="s">
        <v>5</v>
      </c>
    </row>
    <row r="2" spans="1:13" x14ac:dyDescent="0.35">
      <c r="A2" t="s">
        <v>6</v>
      </c>
      <c r="B2" t="b">
        <v>1</v>
      </c>
      <c r="C2">
        <v>15</v>
      </c>
      <c r="D2">
        <v>3</v>
      </c>
      <c r="F2" t="b">
        <v>1</v>
      </c>
      <c r="G2">
        <v>3</v>
      </c>
      <c r="I2" t="b">
        <v>0</v>
      </c>
      <c r="J2">
        <v>200</v>
      </c>
      <c r="K2">
        <v>-1</v>
      </c>
      <c r="M2" t="s">
        <v>50</v>
      </c>
    </row>
    <row r="3" spans="1:13" x14ac:dyDescent="0.35">
      <c r="A3" t="s">
        <v>9</v>
      </c>
      <c r="B3" t="b">
        <v>1</v>
      </c>
      <c r="C3">
        <v>10</v>
      </c>
      <c r="D3">
        <v>3</v>
      </c>
      <c r="E3">
        <v>16</v>
      </c>
      <c r="F3" t="b">
        <v>1</v>
      </c>
      <c r="G3">
        <v>3</v>
      </c>
      <c r="H3">
        <v>13</v>
      </c>
      <c r="I3" t="b">
        <v>1</v>
      </c>
      <c r="J3">
        <v>200</v>
      </c>
      <c r="K3">
        <v>-5</v>
      </c>
      <c r="L3">
        <v>15</v>
      </c>
      <c r="M3" t="s">
        <v>58</v>
      </c>
    </row>
    <row r="4" spans="1:13" x14ac:dyDescent="0.35">
      <c r="A4" t="s">
        <v>10</v>
      </c>
      <c r="B4" t="b">
        <v>0</v>
      </c>
      <c r="C4">
        <v>10</v>
      </c>
      <c r="D4">
        <v>3</v>
      </c>
      <c r="F4" t="b">
        <v>1</v>
      </c>
      <c r="G4">
        <v>2</v>
      </c>
      <c r="I4" t="b">
        <v>1</v>
      </c>
      <c r="J4">
        <v>200</v>
      </c>
      <c r="K4">
        <v>-3</v>
      </c>
      <c r="M4" t="s">
        <v>62</v>
      </c>
    </row>
    <row r="5" spans="1:13" x14ac:dyDescent="0.35">
      <c r="A5" t="s">
        <v>11</v>
      </c>
      <c r="B5" t="b">
        <v>1</v>
      </c>
      <c r="C5">
        <v>10</v>
      </c>
      <c r="D5">
        <v>3</v>
      </c>
      <c r="F5" t="b">
        <v>1</v>
      </c>
      <c r="G5">
        <v>3</v>
      </c>
      <c r="I5" t="b">
        <v>0</v>
      </c>
      <c r="J5">
        <v>200</v>
      </c>
      <c r="K5">
        <v>-1</v>
      </c>
      <c r="M5" t="s">
        <v>46</v>
      </c>
    </row>
    <row r="6" spans="1:13" x14ac:dyDescent="0.35">
      <c r="A6" t="s">
        <v>12</v>
      </c>
      <c r="B6" t="b">
        <v>1</v>
      </c>
      <c r="C6">
        <v>10</v>
      </c>
      <c r="D6">
        <v>3</v>
      </c>
      <c r="F6" t="b">
        <v>1</v>
      </c>
      <c r="G6">
        <v>4</v>
      </c>
      <c r="I6" t="b">
        <v>0</v>
      </c>
      <c r="J6">
        <v>200</v>
      </c>
      <c r="K6">
        <v>-1</v>
      </c>
      <c r="M6" t="s">
        <v>37</v>
      </c>
    </row>
    <row r="7" spans="1:13" x14ac:dyDescent="0.35">
      <c r="A7" t="s">
        <v>13</v>
      </c>
      <c r="B7" t="b">
        <v>0</v>
      </c>
      <c r="C7">
        <v>10</v>
      </c>
      <c r="D7">
        <v>3</v>
      </c>
      <c r="F7" t="b">
        <v>1</v>
      </c>
      <c r="G7">
        <v>3</v>
      </c>
      <c r="I7" t="b">
        <v>1</v>
      </c>
      <c r="J7">
        <v>200</v>
      </c>
      <c r="K7">
        <v>-1</v>
      </c>
      <c r="M7" t="s">
        <v>38</v>
      </c>
    </row>
    <row r="8" spans="1:13" x14ac:dyDescent="0.35">
      <c r="A8" t="s">
        <v>14</v>
      </c>
      <c r="B8" t="b">
        <v>1</v>
      </c>
      <c r="C8">
        <v>10</v>
      </c>
      <c r="D8">
        <v>3</v>
      </c>
      <c r="F8" t="b">
        <v>1</v>
      </c>
      <c r="G8">
        <v>4</v>
      </c>
      <c r="I8" t="b">
        <v>1</v>
      </c>
      <c r="J8">
        <v>200</v>
      </c>
      <c r="K8">
        <v>-1</v>
      </c>
      <c r="M8" t="s">
        <v>39</v>
      </c>
    </row>
    <row r="9" spans="1:13" x14ac:dyDescent="0.35">
      <c r="A9" t="s">
        <v>15</v>
      </c>
      <c r="B9" t="b">
        <v>1</v>
      </c>
      <c r="C9">
        <v>15</v>
      </c>
      <c r="D9">
        <v>3</v>
      </c>
      <c r="F9" t="b">
        <v>1</v>
      </c>
      <c r="G9">
        <v>3</v>
      </c>
      <c r="I9" t="b">
        <v>1</v>
      </c>
      <c r="J9">
        <v>200</v>
      </c>
      <c r="K9">
        <v>-1</v>
      </c>
      <c r="M9" t="s">
        <v>40</v>
      </c>
    </row>
    <row r="10" spans="1:13" x14ac:dyDescent="0.35">
      <c r="A10" t="s">
        <v>16</v>
      </c>
      <c r="B10" t="b">
        <v>1</v>
      </c>
      <c r="C10">
        <v>10</v>
      </c>
      <c r="D10">
        <v>3</v>
      </c>
      <c r="F10" t="b">
        <v>1</v>
      </c>
      <c r="G10">
        <v>3</v>
      </c>
      <c r="I10" t="b">
        <v>1</v>
      </c>
      <c r="J10">
        <v>200</v>
      </c>
      <c r="K10">
        <v>-1</v>
      </c>
    </row>
    <row r="11" spans="1:13" x14ac:dyDescent="0.35">
      <c r="A11" t="s">
        <v>17</v>
      </c>
      <c r="B11" t="b">
        <v>1</v>
      </c>
      <c r="C11">
        <v>20</v>
      </c>
      <c r="D11">
        <v>3</v>
      </c>
      <c r="E11">
        <v>20</v>
      </c>
      <c r="F11" t="b">
        <v>1</v>
      </c>
      <c r="G11">
        <v>4</v>
      </c>
      <c r="I11" t="b">
        <v>0</v>
      </c>
      <c r="J11">
        <v>200</v>
      </c>
      <c r="K11">
        <v>-1</v>
      </c>
      <c r="M11" t="s">
        <v>60</v>
      </c>
    </row>
    <row r="12" spans="1:13" x14ac:dyDescent="0.35">
      <c r="A12" t="s">
        <v>18</v>
      </c>
      <c r="B12" t="b">
        <v>1</v>
      </c>
      <c r="C12">
        <v>10</v>
      </c>
      <c r="D12">
        <v>3</v>
      </c>
      <c r="F12" t="b">
        <v>0</v>
      </c>
      <c r="G12">
        <v>3</v>
      </c>
      <c r="I12" t="b">
        <v>1</v>
      </c>
      <c r="J12">
        <v>200</v>
      </c>
      <c r="K12">
        <v>-1</v>
      </c>
      <c r="M12" t="s">
        <v>41</v>
      </c>
    </row>
    <row r="13" spans="1:13" x14ac:dyDescent="0.35">
      <c r="A13" t="s">
        <v>19</v>
      </c>
      <c r="B13" t="b">
        <v>1</v>
      </c>
      <c r="C13">
        <v>10</v>
      </c>
      <c r="D13">
        <v>3</v>
      </c>
      <c r="F13" t="b">
        <v>1</v>
      </c>
      <c r="G13">
        <v>3</v>
      </c>
      <c r="I13" t="b">
        <v>1</v>
      </c>
      <c r="J13">
        <v>200</v>
      </c>
      <c r="K13">
        <v>-1</v>
      </c>
    </row>
    <row r="14" spans="1:13" x14ac:dyDescent="0.35">
      <c r="A14" t="s">
        <v>20</v>
      </c>
      <c r="B14" t="b">
        <v>1</v>
      </c>
      <c r="C14">
        <v>10</v>
      </c>
      <c r="D14">
        <v>3</v>
      </c>
      <c r="F14" t="b">
        <v>1</v>
      </c>
      <c r="G14">
        <v>3</v>
      </c>
      <c r="I14" t="b">
        <v>1</v>
      </c>
      <c r="J14">
        <v>200</v>
      </c>
      <c r="K14">
        <v>-1</v>
      </c>
    </row>
    <row r="15" spans="1:13" x14ac:dyDescent="0.35">
      <c r="A15" t="s">
        <v>21</v>
      </c>
      <c r="B15" t="b">
        <v>1</v>
      </c>
      <c r="C15">
        <v>10</v>
      </c>
      <c r="D15">
        <v>3</v>
      </c>
      <c r="F15" t="b">
        <v>1</v>
      </c>
      <c r="G15">
        <v>3</v>
      </c>
      <c r="I15" t="b">
        <v>1</v>
      </c>
      <c r="J15">
        <v>200</v>
      </c>
      <c r="K15">
        <v>-1</v>
      </c>
    </row>
    <row r="16" spans="1:13" x14ac:dyDescent="0.35">
      <c r="A16" t="s">
        <v>22</v>
      </c>
      <c r="B16" t="b">
        <v>1</v>
      </c>
      <c r="C16">
        <v>10</v>
      </c>
      <c r="D16">
        <v>3</v>
      </c>
      <c r="F16" t="b">
        <v>1</v>
      </c>
      <c r="G16">
        <v>3</v>
      </c>
      <c r="I16" t="b">
        <v>0</v>
      </c>
      <c r="J16">
        <v>200</v>
      </c>
      <c r="K16">
        <v>-1</v>
      </c>
      <c r="M16" t="s">
        <v>51</v>
      </c>
    </row>
    <row r="17" spans="1:13" x14ac:dyDescent="0.35">
      <c r="A17" t="s">
        <v>23</v>
      </c>
      <c r="B17" t="b">
        <v>1</v>
      </c>
      <c r="C17">
        <v>10</v>
      </c>
      <c r="D17">
        <v>3</v>
      </c>
      <c r="F17" t="b">
        <v>1</v>
      </c>
      <c r="G17">
        <v>3</v>
      </c>
      <c r="I17" t="b">
        <v>0</v>
      </c>
      <c r="J17">
        <v>200</v>
      </c>
      <c r="K17">
        <v>-1</v>
      </c>
      <c r="M17" t="s">
        <v>42</v>
      </c>
    </row>
    <row r="18" spans="1:13" x14ac:dyDescent="0.35">
      <c r="A18" t="s">
        <v>24</v>
      </c>
      <c r="B18" t="b">
        <v>1</v>
      </c>
      <c r="C18">
        <v>10</v>
      </c>
      <c r="D18">
        <v>3</v>
      </c>
      <c r="F18" t="b">
        <v>1</v>
      </c>
      <c r="G18">
        <v>3</v>
      </c>
      <c r="I18" t="b">
        <v>0</v>
      </c>
      <c r="J18">
        <v>200</v>
      </c>
      <c r="K18">
        <v>-1</v>
      </c>
      <c r="M18" t="s">
        <v>43</v>
      </c>
    </row>
    <row r="19" spans="1:13" x14ac:dyDescent="0.35">
      <c r="A19" t="s">
        <v>25</v>
      </c>
      <c r="B19" t="b">
        <v>0</v>
      </c>
      <c r="C19">
        <v>10</v>
      </c>
      <c r="D19">
        <v>3</v>
      </c>
      <c r="F19" t="b">
        <v>1</v>
      </c>
      <c r="G19">
        <v>3</v>
      </c>
      <c r="I19" t="b">
        <v>1</v>
      </c>
      <c r="J19">
        <v>200</v>
      </c>
      <c r="K19">
        <v>-1</v>
      </c>
      <c r="M19" t="s">
        <v>44</v>
      </c>
    </row>
    <row r="20" spans="1:13" x14ac:dyDescent="0.35">
      <c r="A20" t="s">
        <v>26</v>
      </c>
      <c r="B20" t="b">
        <v>1</v>
      </c>
      <c r="C20">
        <v>10</v>
      </c>
      <c r="D20">
        <v>3</v>
      </c>
      <c r="F20" t="b">
        <v>1</v>
      </c>
      <c r="G20">
        <v>3</v>
      </c>
      <c r="I20" t="b">
        <v>1</v>
      </c>
      <c r="J20">
        <v>200</v>
      </c>
      <c r="K20">
        <v>-1</v>
      </c>
    </row>
    <row r="21" spans="1:13" x14ac:dyDescent="0.35">
      <c r="A21" t="s">
        <v>27</v>
      </c>
      <c r="B21" t="b">
        <v>1</v>
      </c>
      <c r="C21">
        <v>10</v>
      </c>
      <c r="D21">
        <v>3</v>
      </c>
      <c r="F21" t="b">
        <v>1</v>
      </c>
      <c r="G21">
        <v>3</v>
      </c>
      <c r="I21" t="b">
        <v>0</v>
      </c>
      <c r="J21">
        <v>200</v>
      </c>
      <c r="K21">
        <v>-1</v>
      </c>
      <c r="M21" t="s">
        <v>45</v>
      </c>
    </row>
    <row r="22" spans="1:13" x14ac:dyDescent="0.35">
      <c r="A22" t="s">
        <v>28</v>
      </c>
      <c r="B22" t="b">
        <v>1</v>
      </c>
      <c r="C22">
        <v>10</v>
      </c>
      <c r="D22">
        <v>3</v>
      </c>
      <c r="F22" t="b">
        <v>1</v>
      </c>
      <c r="G22">
        <v>3</v>
      </c>
      <c r="I22" t="b">
        <v>0</v>
      </c>
      <c r="J22">
        <v>200</v>
      </c>
      <c r="K22">
        <v>-1</v>
      </c>
      <c r="M22" t="s">
        <v>46</v>
      </c>
    </row>
    <row r="23" spans="1:13" x14ac:dyDescent="0.35">
      <c r="A23" t="s">
        <v>29</v>
      </c>
      <c r="B23" t="b">
        <v>1</v>
      </c>
      <c r="C23">
        <v>10</v>
      </c>
      <c r="D23">
        <v>3</v>
      </c>
      <c r="F23" t="b">
        <v>1</v>
      </c>
      <c r="G23">
        <v>3</v>
      </c>
      <c r="I23" t="b">
        <v>0</v>
      </c>
      <c r="J23">
        <v>200</v>
      </c>
      <c r="K23">
        <v>-1</v>
      </c>
      <c r="M23" t="s">
        <v>52</v>
      </c>
    </row>
    <row r="24" spans="1:13" x14ac:dyDescent="0.35">
      <c r="A24" t="s">
        <v>30</v>
      </c>
      <c r="B24" t="b">
        <v>1</v>
      </c>
      <c r="C24">
        <v>10</v>
      </c>
      <c r="D24">
        <v>3</v>
      </c>
      <c r="F24" t="b">
        <v>1</v>
      </c>
      <c r="G24">
        <v>2</v>
      </c>
      <c r="I24" t="b">
        <v>0</v>
      </c>
      <c r="J24">
        <v>200</v>
      </c>
      <c r="K24">
        <v>-1</v>
      </c>
      <c r="M24" t="s">
        <v>53</v>
      </c>
    </row>
    <row r="25" spans="1:13" x14ac:dyDescent="0.35">
      <c r="A25" t="s">
        <v>31</v>
      </c>
      <c r="B25" t="b">
        <v>0</v>
      </c>
      <c r="C25">
        <v>10</v>
      </c>
      <c r="D25">
        <v>3</v>
      </c>
      <c r="F25" t="b">
        <v>1</v>
      </c>
      <c r="G25">
        <v>3</v>
      </c>
      <c r="I25" t="b">
        <v>1</v>
      </c>
      <c r="J25">
        <v>200</v>
      </c>
      <c r="K25">
        <v>-1</v>
      </c>
      <c r="M25" t="s">
        <v>47</v>
      </c>
    </row>
    <row r="26" spans="1:13" x14ac:dyDescent="0.35">
      <c r="A26" t="s">
        <v>32</v>
      </c>
      <c r="B26" t="b">
        <v>1</v>
      </c>
      <c r="C26">
        <v>10</v>
      </c>
      <c r="D26">
        <v>3</v>
      </c>
      <c r="F26" t="b">
        <v>1</v>
      </c>
      <c r="G26">
        <v>3</v>
      </c>
      <c r="I26" t="b">
        <v>0</v>
      </c>
      <c r="J26">
        <v>200</v>
      </c>
      <c r="K26">
        <v>-1</v>
      </c>
      <c r="M26" t="s">
        <v>48</v>
      </c>
    </row>
    <row r="27" spans="1:13" x14ac:dyDescent="0.35">
      <c r="A27" t="s">
        <v>33</v>
      </c>
      <c r="B27" t="b">
        <v>1</v>
      </c>
      <c r="C27">
        <v>10</v>
      </c>
      <c r="D27">
        <v>3</v>
      </c>
      <c r="F27" t="b">
        <v>1</v>
      </c>
      <c r="G27">
        <v>3</v>
      </c>
      <c r="I27" t="b">
        <v>1</v>
      </c>
      <c r="J27">
        <v>200</v>
      </c>
      <c r="K27">
        <v>-1</v>
      </c>
    </row>
    <row r="28" spans="1:13" x14ac:dyDescent="0.35">
      <c r="A28" t="s">
        <v>34</v>
      </c>
      <c r="B28" t="b">
        <v>0</v>
      </c>
      <c r="C28">
        <v>10</v>
      </c>
      <c r="D28">
        <v>3</v>
      </c>
      <c r="F28" t="b">
        <v>1</v>
      </c>
      <c r="G28" s="2">
        <v>3.5</v>
      </c>
      <c r="H28" s="2"/>
      <c r="I28" t="b">
        <v>1</v>
      </c>
      <c r="J28">
        <v>200</v>
      </c>
      <c r="K28">
        <v>-1</v>
      </c>
      <c r="M28" t="s">
        <v>49</v>
      </c>
    </row>
    <row r="29" spans="1:13" x14ac:dyDescent="0.35">
      <c r="A29" t="s">
        <v>35</v>
      </c>
      <c r="B29" t="b">
        <v>1</v>
      </c>
      <c r="C29">
        <v>10</v>
      </c>
      <c r="D29">
        <v>3</v>
      </c>
      <c r="F29" t="b">
        <v>1</v>
      </c>
      <c r="G29">
        <v>3</v>
      </c>
      <c r="I29" t="b">
        <v>0</v>
      </c>
      <c r="J29">
        <v>200</v>
      </c>
      <c r="K29">
        <v>-1</v>
      </c>
      <c r="M29" t="s">
        <v>46</v>
      </c>
    </row>
    <row r="30" spans="1:13" x14ac:dyDescent="0.35">
      <c r="A30" t="s">
        <v>36</v>
      </c>
      <c r="B30" t="b">
        <v>1</v>
      </c>
      <c r="C30">
        <v>10</v>
      </c>
      <c r="D30">
        <v>3</v>
      </c>
      <c r="F30" t="b">
        <v>1</v>
      </c>
      <c r="G30">
        <v>3</v>
      </c>
      <c r="I30" t="b">
        <v>0</v>
      </c>
      <c r="J30">
        <v>200</v>
      </c>
      <c r="K30">
        <v>-1</v>
      </c>
      <c r="M30" t="s">
        <v>46</v>
      </c>
    </row>
    <row r="31" spans="1:13" x14ac:dyDescent="0.35">
      <c r="A31" t="s">
        <v>61</v>
      </c>
      <c r="B31" t="b">
        <v>1</v>
      </c>
      <c r="C31">
        <v>15</v>
      </c>
      <c r="D31">
        <v>3</v>
      </c>
      <c r="F31" t="b">
        <v>1</v>
      </c>
      <c r="G31">
        <v>3</v>
      </c>
      <c r="I31" t="b">
        <v>1</v>
      </c>
      <c r="J31">
        <v>200</v>
      </c>
      <c r="K31">
        <v>-8</v>
      </c>
    </row>
  </sheetData>
  <conditionalFormatting sqref="B2:B31">
    <cfRule type="cellIs" dxfId="2" priority="3" operator="equal">
      <formula>TRUE</formula>
    </cfRule>
  </conditionalFormatting>
  <conditionalFormatting sqref="F2:F31">
    <cfRule type="cellIs" dxfId="1" priority="2" operator="equal">
      <formula>TRUE</formula>
    </cfRule>
  </conditionalFormatting>
  <conditionalFormatting sqref="I2:I31">
    <cfRule type="cellIs" dxfId="0" priority="1" operator="equal">
      <formula>TRUE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Janisch</dc:creator>
  <cp:lastModifiedBy>Stefan Janisch - 4ER</cp:lastModifiedBy>
  <dcterms:created xsi:type="dcterms:W3CDTF">2015-06-05T18:19:34Z</dcterms:created>
  <dcterms:modified xsi:type="dcterms:W3CDTF">2024-02-20T13:36:36Z</dcterms:modified>
</cp:coreProperties>
</file>